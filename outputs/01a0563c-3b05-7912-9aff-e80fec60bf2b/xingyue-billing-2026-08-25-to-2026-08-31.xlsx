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日模型明细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<sst xmlns="http://schemas.openxmlformats.org/spreadsheetml/2006/main" count="22" uniqueCount="15">
  <si>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xingyue 最近 7 日账单 · 日模型明细</t>
  </si>
  <si>
    <t>北京时间 2026-08-25 00:00:00 至 2026-08-31 13:20:06；8 月 31 日为截至导出时点的部分日。</t>
  </si>
  <si>
    <t>日期</t>
  </si>
  <si>
    <t>模型</t>
  </si>
  <si>
    <t>用量</t>
  </si>
  <si>
    <t>成功请求数</t>
  </si>
  <si>
    <t>总请求数</t>
  </si>
  <si>
    <t>输入 Token</t>
  </si>
  <si>
    <t>输出 Token</t>
  </si>
  <si>
    <t>花费金额 (CNY)</t>
  </si>
  <si>
    <t>失败请求数</t>
  </si>
  <si>
    <t>结算额度 (系统单位)</t>
  </si>
  <si>
    <t>deepseek-v4-flash-0731</t>
  </si>
  <si>
    <t>deepseek-v4-pro-0813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</si>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</sst>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$#,##0.000000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sz val="11"/>
      <color rgb="FFB45309"/>
      <name val="Carlito"/>
      <charset val="134"/>
    </font>
    <font>
      <b/>
      <sz val="11"/>
      <color rgb="FFFFFFFF"/>
      <name val="Carlito"/>
      <charset val="134"/>
    </font>
    <font>
      <sz val="11"/>
      <color rgb="FF0F172A"/>
      <name val="Carlito"/>
      <charset val="134"/>
    </font>
    <font>
      <sz val="11"/>
      <color rgb="FF0F172A"/>
      <name val="Carlito"/>
      <charset val="0"/>
    </font>
    <font>
      <b/>
      <sz val="11"/>
      <color rgb="FF0F172A"/>
      <name val="Carlito"/>
      <charset val="134"/>
    </font>
    <font>
      <b/>
      <sz val="11"/>
      <color rgb="FF0F172A"/>
      <name val="Carlito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93C5FD"/>
      </right>
      <top/>
      <bottom/>
      <diagonal/>
    </border>
    <border>
      <left style="thin">
        <color rgb="FF93C5FD"/>
      </left>
      <right style="thin">
        <color rgb="FF93C5FD"/>
      </right>
      <top/>
      <bottom/>
      <diagonal/>
    </border>
    <border>
      <left style="thin">
        <color rgb="FF93C5FD"/>
      </left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medium">
        <color rgb="FFE2E8F0"/>
      </top>
      <bottom/>
      <diagonal/>
    </border>
    <border>
      <left/>
      <right/>
      <top style="medium">
        <color rgb="FF2563EB"/>
      </top>
      <bottom style="double">
        <color rgb="FF2563EB"/>
      </bottom>
      <diagonal/>
    </border>
    <border>
      <left/>
      <right/>
      <top style="thick">
        <color rgb="FF2563EB"/>
      </top>
      <bottom style="double">
        <color rgb="FF2563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176" fontId="4" fillId="5" borderId="4" xfId="49" applyNumberFormat="1" applyFont="1" applyFill="1" applyBorder="1" applyAlignment="1">
      <alignment horizontal="center" vertical="center"/>
    </xf>
    <xf numFmtId="0" fontId="4" fillId="5" borderId="4" xfId="49" applyNumberFormat="1" applyFont="1" applyFill="1" applyBorder="1" applyAlignment="1">
      <alignment vertical="center"/>
    </xf>
    <xf numFmtId="3" fontId="4" fillId="5" borderId="4" xfId="49" applyNumberFormat="1" applyFont="1" applyFill="1" applyBorder="1" applyAlignment="1">
      <alignment horizontal="right" vertical="center"/>
    </xf>
    <xf numFmtId="177" fontId="5" fillId="6" borderId="5" xfId="0" applyNumberFormat="1" applyFont="1" applyFill="1" applyBorder="1" applyAlignment="1">
      <alignment horizontal="right" vertical="center"/>
    </xf>
    <xf numFmtId="176" fontId="4" fillId="5" borderId="6" xfId="49" applyNumberFormat="1" applyFont="1" applyFill="1" applyBorder="1" applyAlignment="1">
      <alignment horizontal="center" vertical="center"/>
    </xf>
    <xf numFmtId="0" fontId="4" fillId="5" borderId="6" xfId="49" applyNumberFormat="1" applyFont="1" applyFill="1" applyBorder="1" applyAlignment="1">
      <alignment vertical="center"/>
    </xf>
    <xf numFmtId="3" fontId="4" fillId="5" borderId="6" xfId="49" applyNumberFormat="1" applyFont="1" applyFill="1" applyBorder="1" applyAlignment="1">
      <alignment horizontal="right" vertical="center"/>
    </xf>
    <xf numFmtId="177" fontId="5" fillId="6" borderId="7" xfId="0" applyNumberFormat="1" applyFont="1" applyFill="1" applyBorder="1" applyAlignment="1">
      <alignment horizontal="right" vertical="center"/>
    </xf>
    <xf numFmtId="176" fontId="4" fillId="5" borderId="8" xfId="49" applyNumberFormat="1" applyFont="1" applyFill="1" applyBorder="1" applyAlignment="1">
      <alignment horizontal="center" vertical="center"/>
    </xf>
    <xf numFmtId="0" fontId="4" fillId="5" borderId="8" xfId="49" applyNumberFormat="1" applyFont="1" applyFill="1" applyBorder="1" applyAlignment="1">
      <alignment vertical="center"/>
    </xf>
    <xf numFmtId="3" fontId="4" fillId="5" borderId="8" xfId="49" applyNumberFormat="1" applyFont="1" applyFill="1" applyBorder="1" applyAlignment="1">
      <alignment horizontal="right" vertical="center"/>
    </xf>
    <xf numFmtId="177" fontId="5" fillId="6" borderId="9" xfId="0" applyNumberFormat="1" applyFont="1" applyFill="1" applyBorder="1" applyAlignment="1">
      <alignment horizontal="right" vertical="center"/>
    </xf>
    <xf numFmtId="0" fontId="6" fillId="7" borderId="10" xfId="49" applyNumberFormat="1" applyFont="1" applyFill="1" applyBorder="1"/>
    <xf numFmtId="3" fontId="6" fillId="7" borderId="10" xfId="49" applyNumberFormat="1" applyFont="1" applyFill="1" applyBorder="1"/>
    <xf numFmtId="177" fontId="7" fillId="8" borderId="11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ilyModelDetailTable" displayName="DailyModelDetailTable" ref="A3:J12" totalsRowShown="0">
  <tableColumns count="10">
    <tableColumn id="1" name="日期"/>
    <tableColumn id="2" name="模型"/>
    <tableColumn id="3" name="用量"/>
    <tableColumn id="4" name="成功请求数"/>
    <tableColumn id="5" name="总请求数"/>
    <tableColumn id="6" name="输入 Token"/>
    <tableColumn id="7" name="输出 Token"/>
    <tableColumn id="8" name="花费金额 (CNY)"/>
    <tableColumn id="9" name="失败请求数"/>
    <tableColumn id="10" name="结算额度 (系统单位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showGridLines="0" tabSelected="1" topLeftCell="D1" workbookViewId="0">
      <selection activeCell="H9" sqref="H8:H9"/>
    </sheetView>
  </sheetViews>
  <sheetFormatPr defaultColWidth="9" defaultRowHeight="16.8"/>
  <cols>
    <col min="1" max="1" width="13" customWidth="1"/>
    <col min="2" max="2" width="27" customWidth="1"/>
    <col min="3" max="10" width="17" customWidth="1"/>
  </cols>
  <sheetData>
    <row r="1" ht="34" customHeight="1" spans="1:1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</row>
    <row r="4" ht="22" customHeight="1" spans="1:10">
      <c r="A4" s="6">
        <v>46259</v>
      </c>
      <c r="B4" s="7" t="s">
        <v>12</v>
      </c>
      <c r="C4" s="8">
        <f t="shared" ref="C4:C12" si="0">F4+G4</f>
        <v>4164391</v>
      </c>
      <c r="D4" s="8">
        <v>222</v>
      </c>
      <c r="E4" s="8">
        <f t="shared" ref="E4:E12" si="1">D4+I4</f>
        <v>222</v>
      </c>
      <c r="F4" s="8">
        <v>4145214</v>
      </c>
      <c r="G4" s="8">
        <v>19177</v>
      </c>
      <c r="H4" s="9">
        <v>0.289556</v>
      </c>
      <c r="I4" s="8">
        <v>0</v>
      </c>
      <c r="J4" s="8">
        <v>144778</v>
      </c>
    </row>
    <row r="5" ht="22" customHeight="1" spans="1:10">
      <c r="A5" s="10">
        <v>46259</v>
      </c>
      <c r="B5" s="11" t="s">
        <v>13</v>
      </c>
      <c r="C5" s="12">
        <f t="shared" si="0"/>
        <v>4177522</v>
      </c>
      <c r="D5" s="12">
        <v>222</v>
      </c>
      <c r="E5" s="12">
        <f t="shared" si="1"/>
        <v>222</v>
      </c>
      <c r="F5" s="12">
        <v>4145238</v>
      </c>
      <c r="G5" s="12">
        <v>32284</v>
      </c>
      <c r="H5" s="13">
        <v>0.962202</v>
      </c>
      <c r="I5" s="12">
        <v>0</v>
      </c>
      <c r="J5" s="12">
        <v>481101</v>
      </c>
    </row>
    <row r="6" ht="22" customHeight="1" spans="1:10">
      <c r="A6" s="10">
        <v>46262</v>
      </c>
      <c r="B6" s="11" t="s">
        <v>12</v>
      </c>
      <c r="C6" s="12">
        <f t="shared" si="0"/>
        <v>86054919</v>
      </c>
      <c r="D6" s="12">
        <v>982</v>
      </c>
      <c r="E6" s="12">
        <f t="shared" si="1"/>
        <v>991</v>
      </c>
      <c r="F6" s="12">
        <v>84896394</v>
      </c>
      <c r="G6" s="12">
        <v>1158525</v>
      </c>
      <c r="H6" s="13">
        <v>39.483982</v>
      </c>
      <c r="I6" s="12">
        <v>9</v>
      </c>
      <c r="J6" s="12">
        <v>19741991</v>
      </c>
    </row>
    <row r="7" ht="22" customHeight="1" spans="1:10">
      <c r="A7" s="10">
        <v>46262</v>
      </c>
      <c r="B7" s="11" t="s">
        <v>13</v>
      </c>
      <c r="C7" s="12">
        <f t="shared" si="0"/>
        <v>19819614</v>
      </c>
      <c r="D7" s="12">
        <v>150</v>
      </c>
      <c r="E7" s="12">
        <f t="shared" si="1"/>
        <v>151</v>
      </c>
      <c r="F7" s="12">
        <v>19687537</v>
      </c>
      <c r="G7" s="12">
        <v>132077</v>
      </c>
      <c r="H7" s="13">
        <v>29.098352</v>
      </c>
      <c r="I7" s="12">
        <v>1</v>
      </c>
      <c r="J7" s="12">
        <v>14549176</v>
      </c>
    </row>
    <row r="8" ht="22" customHeight="1" spans="1:10">
      <c r="A8" s="10">
        <v>46263</v>
      </c>
      <c r="B8" s="11" t="s">
        <v>12</v>
      </c>
      <c r="C8" s="12">
        <f t="shared" si="0"/>
        <v>138470924</v>
      </c>
      <c r="D8" s="12">
        <v>2070</v>
      </c>
      <c r="E8" s="12">
        <f t="shared" si="1"/>
        <v>2079</v>
      </c>
      <c r="F8" s="12">
        <v>135441290</v>
      </c>
      <c r="G8" s="12">
        <v>3029634</v>
      </c>
      <c r="H8" s="13">
        <v>73.150478</v>
      </c>
      <c r="I8" s="12">
        <v>9</v>
      </c>
      <c r="J8" s="12">
        <v>36575239</v>
      </c>
    </row>
    <row r="9" ht="22" customHeight="1" spans="1:10">
      <c r="A9" s="10">
        <v>46263</v>
      </c>
      <c r="B9" s="11" t="s">
        <v>13</v>
      </c>
      <c r="C9" s="12">
        <f t="shared" si="0"/>
        <v>119333153</v>
      </c>
      <c r="D9" s="12">
        <v>1145</v>
      </c>
      <c r="E9" s="12">
        <f t="shared" si="1"/>
        <v>1175</v>
      </c>
      <c r="F9" s="12">
        <v>118358423</v>
      </c>
      <c r="G9" s="12">
        <v>974730</v>
      </c>
      <c r="H9" s="13">
        <v>184.44581</v>
      </c>
      <c r="I9" s="12">
        <v>30</v>
      </c>
      <c r="J9" s="12">
        <v>92222905</v>
      </c>
    </row>
    <row r="10" ht="22" customHeight="1" spans="1:10">
      <c r="A10" s="10">
        <v>46264</v>
      </c>
      <c r="B10" s="11" t="s">
        <v>12</v>
      </c>
      <c r="C10" s="12">
        <f t="shared" si="0"/>
        <v>170066497</v>
      </c>
      <c r="D10" s="12">
        <v>3884</v>
      </c>
      <c r="E10" s="12">
        <f t="shared" si="1"/>
        <v>3898</v>
      </c>
      <c r="F10" s="12">
        <v>167133113</v>
      </c>
      <c r="G10" s="12">
        <v>2933384</v>
      </c>
      <c r="H10" s="13">
        <v>68.419412</v>
      </c>
      <c r="I10" s="12">
        <v>14</v>
      </c>
      <c r="J10" s="12">
        <v>34209706</v>
      </c>
    </row>
    <row r="11" ht="22" customHeight="1" spans="1:10">
      <c r="A11" s="10">
        <v>46264</v>
      </c>
      <c r="B11" s="11" t="s">
        <v>13</v>
      </c>
      <c r="C11" s="12">
        <f t="shared" si="0"/>
        <v>104836560</v>
      </c>
      <c r="D11" s="12">
        <v>853</v>
      </c>
      <c r="E11" s="12">
        <f t="shared" si="1"/>
        <v>853</v>
      </c>
      <c r="F11" s="12">
        <v>103732577</v>
      </c>
      <c r="G11" s="12">
        <v>1103983</v>
      </c>
      <c r="H11" s="13">
        <v>184.734994</v>
      </c>
      <c r="I11" s="12">
        <v>0</v>
      </c>
      <c r="J11" s="12">
        <v>92367497</v>
      </c>
    </row>
    <row r="12" ht="22" customHeight="1" spans="1:10">
      <c r="A12" s="14">
        <v>46265</v>
      </c>
      <c r="B12" s="15" t="s">
        <v>13</v>
      </c>
      <c r="C12" s="16">
        <f t="shared" si="0"/>
        <v>11266994</v>
      </c>
      <c r="D12" s="16">
        <v>156</v>
      </c>
      <c r="E12" s="16">
        <f t="shared" si="1"/>
        <v>233</v>
      </c>
      <c r="F12" s="16">
        <v>10684824</v>
      </c>
      <c r="G12" s="16">
        <v>582170</v>
      </c>
      <c r="H12" s="17">
        <v>13.47669</v>
      </c>
      <c r="I12" s="16">
        <v>77</v>
      </c>
      <c r="J12" s="16">
        <v>6738345</v>
      </c>
    </row>
    <row r="13" ht="18.3" spans="1:10">
      <c r="A13" s="18" t="s">
        <v>14</v>
      </c>
      <c r="B13" s="18"/>
      <c r="C13" s="19">
        <f t="shared" ref="C13:J13" si="2">SUM(C4:C12)</f>
        <v>658190574</v>
      </c>
      <c r="D13" s="19">
        <f t="shared" si="2"/>
        <v>9684</v>
      </c>
      <c r="E13" s="19">
        <f t="shared" si="2"/>
        <v>9824</v>
      </c>
      <c r="F13" s="19">
        <f t="shared" si="2"/>
        <v>648224610</v>
      </c>
      <c r="G13" s="19">
        <f t="shared" si="2"/>
        <v>9965964</v>
      </c>
      <c r="H13" s="20">
        <v>594.061476</v>
      </c>
      <c r="I13" s="19">
        <f t="shared" si="2"/>
        <v>140</v>
      </c>
      <c r="J13" s="19">
        <f t="shared" si="2"/>
        <v>297030738</v>
      </c>
    </row>
    <row r="14" ht="17.55"/>
  </sheetData>
  <mergeCells count="3">
    <mergeCell ref="A1:J1"/>
    <mergeCell ref="A2:J2"/>
    <mergeCell ref="A13:B1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日模型明细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</cp:lastModifiedBy>
  <dcterms:created xsi:type="dcterms:W3CDTF">2026-08-31T21:36:00Z</dcterms:created>
  <dcterms:modified xsi:type="dcterms:W3CDTF">2026-08-31T13:45:37Z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7930DBE9A0F227DB9013956AF7C77E0D_42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